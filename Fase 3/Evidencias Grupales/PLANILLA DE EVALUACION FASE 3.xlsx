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.olea/Documents/DUOC/2025/SEM2/PTY/Grupo7/Fase 3/"/>
    </mc:Choice>
  </mc:AlternateContent>
  <xr:revisionPtr revIDLastSave="0" documentId="13_ncr:1_{72930695-712A-7E48-AB1A-2EDF1B14A81D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<sst xmlns="http://schemas.openxmlformats.org/spreadsheetml/2006/main" count="164" uniqueCount="66">
  <si>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</si>
  <si>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</si>
  <si>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</si>
  <si>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</si>
  <si>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</si>
  <si>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</si>
  <si>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</si>
  <si>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</si>
  <si>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</si>
  <si>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</si>
  <si>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</si>
  <si>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</si>
  <si>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</si>
  <si>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</si>
  <si>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</si>
  <si>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</si>
  <si>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</si>
  <si>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</si>
  <si>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</si>
  <si>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</si>
  <si>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</si>
  <si>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</si>
  <si>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</si>
  <si>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</si>
  <si>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</si>
  <si>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</si>
  <si>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</si>
  <si>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</si>
  <si>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</si>
  <si>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</si>
  <si>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</si>
  <si>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</si>
  <si>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</si>
  <si>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</si>
  <si>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</si>
  <si>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</si>
  <si>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</si>
  <si>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</si>
  <si>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</si>
  <si>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</si>
  <si>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</si>
  <si>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</si>
  <si>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</si>
  <si>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</si>
  <si>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</si>
  <si>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</si>
  <si>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</si>
  <si>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</si>
  <si>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</si>
  <si>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</si>
  <si>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</si>
  <si>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</si>
  <si>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</si>
  <si>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</si>
  <si>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</si>
  <si>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</si>
  <si>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</si>
  <si>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</si>
  <si>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</si>
  <si>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</si>
  <si>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</si>
  <si>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</si>
  <si>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</si>
  <si>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MORENO FLORES ALAN</t>
  </si>
  <si>
    <t>OLIVA JEREZ ALEX GABRIEL</t>
  </si>
  <si>
    <t>PAVEZ FREDES ALEX PAOLO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</si>
</sst>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45" sqref="C45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57" t="s">
        <v>63</v>
      </c>
      <c r="C4" s="30">
        <f>C21</f>
        <v>6.6</v>
      </c>
      <c r="D4" s="36">
        <f>C60</f>
        <v>7</v>
      </c>
      <c r="E4" s="35">
        <f>C4*C$2+D4*D$2</f>
        <v>6.7199999999999989</v>
      </c>
    </row>
    <row r="5" spans="1:11" x14ac:dyDescent="0.2">
      <c r="A5" s="3">
        <v>2</v>
      </c>
      <c r="B5" s="57" t="s">
        <v>64</v>
      </c>
      <c r="C5" s="30">
        <f>C34</f>
        <v>6.6</v>
      </c>
      <c r="D5" s="36">
        <f>C73</f>
        <v>7</v>
      </c>
      <c r="E5" s="35">
        <f t="shared" ref="E5:E6" si="0">C5*C$2+D5*D$2</f>
        <v>6.7199999999999989</v>
      </c>
    </row>
    <row r="6" spans="1:11" x14ac:dyDescent="0.2">
      <c r="A6" s="3">
        <v>3</v>
      </c>
      <c r="B6" s="57" t="s">
        <v>65</v>
      </c>
      <c r="C6" s="30">
        <f>C47</f>
        <v>6.6</v>
      </c>
      <c r="D6" s="36">
        <f>C86</f>
        <v>7</v>
      </c>
      <c r="E6" s="35">
        <f t="shared" si="0"/>
        <v>6.7199999999999989</v>
      </c>
    </row>
    <row r="11" spans="1:11" ht="19" outlineLevel="1" x14ac:dyDescent="0.2">
      <c r="A11" s="47" t="s">
        <v>4</v>
      </c>
      <c r="B11" s="11" t="str">
        <f>B4</f>
        <v>MORENO FLORES ALAN</v>
      </c>
      <c r="C11" s="42" t="s">
        <v>5</v>
      </c>
      <c r="D11" s="43" t="s">
        <v>6</v>
      </c>
      <c r="E11" s="44"/>
      <c r="F11" s="44"/>
      <c r="G11" s="44"/>
      <c r="H11" s="44"/>
      <c r="I11" s="44"/>
      <c r="J11" s="44"/>
      <c r="K11" s="45"/>
    </row>
    <row r="12" spans="1:11" outlineLevel="1" x14ac:dyDescent="0.2">
      <c r="A12" s="39"/>
      <c r="B12" s="15" t="s">
        <v>7</v>
      </c>
      <c r="C12" s="41"/>
      <c r="D12" s="43" t="s">
        <v>8</v>
      </c>
      <c r="E12" s="45"/>
      <c r="F12" s="43" t="s">
        <v>9</v>
      </c>
      <c r="G12" s="45"/>
      <c r="H12" s="46" t="s">
        <v>10</v>
      </c>
      <c r="I12" s="45"/>
      <c r="J12" s="43" t="s">
        <v>11</v>
      </c>
      <c r="K12" s="45"/>
    </row>
    <row r="13" spans="1:11" ht="26" outlineLevel="1" x14ac:dyDescent="0.2">
      <c r="A13" s="40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0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0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0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0"/>
      <c r="B17" s="18" t="str">
        <f>RUBRICA!A8</f>
        <v>5. Expresa sus ideas con fluidez, claridad y precisión, utilizando lenguaje técnico propio de la disciplina.</v>
      </c>
      <c r="C17" s="16" t="s">
        <v>9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0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0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9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39"/>
      <c r="B20" s="17" t="s">
        <v>12</v>
      </c>
      <c r="C20" s="21">
        <f>E20+G20+I20+K20</f>
        <v>94</v>
      </c>
      <c r="D20" s="13"/>
      <c r="E20" s="13">
        <f>SUM(E13:E19)</f>
        <v>85</v>
      </c>
      <c r="F20" s="13"/>
      <c r="G20" s="13">
        <f>SUM(G13:G19)</f>
        <v>9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1"/>
      <c r="B21" s="20" t="s">
        <v>13</v>
      </c>
      <c r="C21" s="14">
        <f>VLOOKUP(C20,ESCALA_IEP!A2:B202,2,FALSE)</f>
        <v>6.6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7" t="s">
        <v>4</v>
      </c>
      <c r="B24" s="11" t="str">
        <f>B5</f>
        <v>OLIVA JEREZ ALEX GABRIEL</v>
      </c>
      <c r="C24" s="42" t="s">
        <v>5</v>
      </c>
      <c r="D24" s="43" t="s">
        <v>6</v>
      </c>
      <c r="E24" s="44"/>
      <c r="F24" s="44"/>
      <c r="G24" s="44"/>
      <c r="H24" s="44"/>
      <c r="I24" s="44"/>
      <c r="J24" s="44"/>
      <c r="K24" s="45"/>
    </row>
    <row r="25" spans="1:11" ht="24" customHeight="1" x14ac:dyDescent="0.2">
      <c r="A25" s="39"/>
      <c r="B25" s="15" t="s">
        <v>7</v>
      </c>
      <c r="C25" s="41"/>
      <c r="D25" s="43" t="s">
        <v>8</v>
      </c>
      <c r="E25" s="45"/>
      <c r="F25" s="43" t="s">
        <v>9</v>
      </c>
      <c r="G25" s="45"/>
      <c r="H25" s="46" t="s">
        <v>10</v>
      </c>
      <c r="I25" s="45"/>
      <c r="J25" s="43" t="s">
        <v>11</v>
      </c>
      <c r="K25" s="45"/>
    </row>
    <row r="26" spans="1:11" ht="24" customHeight="1" x14ac:dyDescent="0.2">
      <c r="A26" s="40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0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0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0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0"/>
      <c r="B30" s="18" t="str">
        <f>RUBRICA!A8</f>
        <v>5. Expresa sus ideas con fluidez, claridad y precisión, utilizando lenguaje técnico propio de la disciplina.</v>
      </c>
      <c r="C30" s="16" t="s">
        <v>9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0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0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9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39"/>
      <c r="B33" s="17" t="s">
        <v>12</v>
      </c>
      <c r="C33" s="21">
        <f>E33+G33+I33+K33</f>
        <v>94</v>
      </c>
      <c r="D33" s="13"/>
      <c r="E33" s="13">
        <f>SUM(E26:E32)</f>
        <v>85</v>
      </c>
      <c r="F33" s="13"/>
      <c r="G33" s="13">
        <f>SUM(G26:G32)</f>
        <v>9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1"/>
      <c r="B34" s="20" t="s">
        <v>13</v>
      </c>
      <c r="C34" s="14">
        <f>VLOOKUP(C33,ESCALA_IEP!A15:B215,2,FALSE)</f>
        <v>6.6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7" t="s">
        <v>4</v>
      </c>
      <c r="B37" s="11" t="str">
        <f>B6</f>
        <v>PAVEZ FREDES ALEX PAOLO</v>
      </c>
      <c r="C37" s="42" t="s">
        <v>5</v>
      </c>
      <c r="D37" s="43" t="s">
        <v>6</v>
      </c>
      <c r="E37" s="44"/>
      <c r="F37" s="44"/>
      <c r="G37" s="44"/>
      <c r="H37" s="44"/>
      <c r="I37" s="44"/>
      <c r="J37" s="44"/>
      <c r="K37" s="45"/>
    </row>
    <row r="38" spans="1:11" ht="24" customHeight="1" x14ac:dyDescent="0.2">
      <c r="A38" s="39"/>
      <c r="B38" s="15" t="s">
        <v>7</v>
      </c>
      <c r="C38" s="41"/>
      <c r="D38" s="43" t="s">
        <v>8</v>
      </c>
      <c r="E38" s="45"/>
      <c r="F38" s="43" t="s">
        <v>9</v>
      </c>
      <c r="G38" s="45"/>
      <c r="H38" s="46" t="s">
        <v>10</v>
      </c>
      <c r="I38" s="45"/>
      <c r="J38" s="43" t="s">
        <v>11</v>
      </c>
      <c r="K38" s="45"/>
    </row>
    <row r="39" spans="1:11" ht="24" customHeight="1" x14ac:dyDescent="0.2">
      <c r="A39" s="40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0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0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0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0"/>
      <c r="B43" s="18" t="str">
        <f>RUBRICA!A8</f>
        <v>5. Expresa sus ideas con fluidez, claridad y precisión, utilizando lenguaje técnico propio de la disciplina.</v>
      </c>
      <c r="C43" s="16" t="s">
        <v>9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0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0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9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39"/>
      <c r="B46" s="17" t="s">
        <v>12</v>
      </c>
      <c r="C46" s="21">
        <f>E46+G46+I46+K46</f>
        <v>94</v>
      </c>
      <c r="D46" s="13"/>
      <c r="E46" s="13">
        <f>SUM(E39:E45)</f>
        <v>85</v>
      </c>
      <c r="F46" s="13"/>
      <c r="G46" s="13">
        <f>SUM(G39:G45)</f>
        <v>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1"/>
      <c r="B47" s="20" t="s">
        <v>13</v>
      </c>
      <c r="C47" s="14">
        <f>VLOOKUP(C46,ESCALA_IEP!A28:B228,2,FALSE)</f>
        <v>6.6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38" t="s">
        <v>14</v>
      </c>
      <c r="B50" s="11" t="str">
        <f>B4</f>
        <v>MORENO FLORES ALAN</v>
      </c>
      <c r="C50" s="42" t="s">
        <v>5</v>
      </c>
      <c r="D50" s="43" t="s">
        <v>6</v>
      </c>
      <c r="E50" s="44"/>
      <c r="F50" s="44"/>
      <c r="G50" s="44"/>
      <c r="H50" s="44"/>
      <c r="I50" s="44"/>
      <c r="J50" s="44"/>
      <c r="K50" s="45"/>
    </row>
    <row r="51" spans="1:11" ht="24" customHeight="1" x14ac:dyDescent="0.2">
      <c r="A51" s="39"/>
      <c r="B51" s="15" t="s">
        <v>7</v>
      </c>
      <c r="C51" s="41"/>
      <c r="D51" s="43" t="s">
        <v>8</v>
      </c>
      <c r="E51" s="45"/>
      <c r="F51" s="43" t="s">
        <v>9</v>
      </c>
      <c r="G51" s="45"/>
      <c r="H51" s="46" t="s">
        <v>10</v>
      </c>
      <c r="I51" s="45"/>
      <c r="J51" s="43" t="s">
        <v>11</v>
      </c>
      <c r="K51" s="45"/>
    </row>
    <row r="52" spans="1:11" ht="24" customHeight="1" x14ac:dyDescent="0.2">
      <c r="A52" s="40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0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0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0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0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0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0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39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1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38" t="s">
        <v>15</v>
      </c>
      <c r="B63" s="11" t="str">
        <f>B5</f>
        <v>OLIVA JEREZ ALEX GABRIEL</v>
      </c>
      <c r="C63" s="42" t="s">
        <v>5</v>
      </c>
      <c r="D63" s="43" t="s">
        <v>6</v>
      </c>
      <c r="E63" s="44"/>
      <c r="F63" s="44"/>
      <c r="G63" s="44"/>
      <c r="H63" s="44"/>
      <c r="I63" s="44"/>
      <c r="J63" s="44"/>
      <c r="K63" s="45"/>
    </row>
    <row r="64" spans="1:11" ht="24" customHeight="1" x14ac:dyDescent="0.2">
      <c r="A64" s="39"/>
      <c r="B64" s="15" t="s">
        <v>7</v>
      </c>
      <c r="C64" s="41"/>
      <c r="D64" s="43" t="s">
        <v>8</v>
      </c>
      <c r="E64" s="45"/>
      <c r="F64" s="43" t="s">
        <v>9</v>
      </c>
      <c r="G64" s="45"/>
      <c r="H64" s="46" t="s">
        <v>10</v>
      </c>
      <c r="I64" s="45"/>
      <c r="J64" s="43" t="s">
        <v>11</v>
      </c>
      <c r="K64" s="45"/>
    </row>
    <row r="65" spans="1:11" ht="24" customHeight="1" x14ac:dyDescent="0.2">
      <c r="A65" s="40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0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0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0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0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0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0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39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1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38" t="s">
        <v>16</v>
      </c>
      <c r="B76" s="11" t="str">
        <f>B6</f>
        <v>PAVEZ FREDES ALEX PAOLO</v>
      </c>
      <c r="C76" s="42" t="s">
        <v>5</v>
      </c>
      <c r="D76" s="43" t="s">
        <v>6</v>
      </c>
      <c r="E76" s="44"/>
      <c r="F76" s="44"/>
      <c r="G76" s="44"/>
      <c r="H76" s="44"/>
      <c r="I76" s="44"/>
      <c r="J76" s="44"/>
      <c r="K76" s="45"/>
    </row>
    <row r="77" spans="1:11" ht="24" customHeight="1" x14ac:dyDescent="0.2">
      <c r="A77" s="39"/>
      <c r="B77" s="15" t="s">
        <v>7</v>
      </c>
      <c r="C77" s="41"/>
      <c r="D77" s="43" t="s">
        <v>8</v>
      </c>
      <c r="E77" s="45"/>
      <c r="F77" s="43" t="s">
        <v>9</v>
      </c>
      <c r="G77" s="45"/>
      <c r="H77" s="46" t="s">
        <v>10</v>
      </c>
      <c r="I77" s="45"/>
      <c r="J77" s="43" t="s">
        <v>11</v>
      </c>
      <c r="K77" s="45"/>
    </row>
    <row r="78" spans="1:11" ht="24" customHeight="1" x14ac:dyDescent="0.2">
      <c r="A78" s="40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0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0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0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0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0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0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39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1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8" t="s">
        <v>17</v>
      </c>
      <c r="B1" s="50" t="s">
        <v>18</v>
      </c>
      <c r="C1" s="51"/>
      <c r="D1" s="51"/>
      <c r="E1" s="52"/>
      <c r="F1" s="48" t="s">
        <v>19</v>
      </c>
    </row>
    <row r="2" spans="1:6" ht="16" x14ac:dyDescent="0.2">
      <c r="A2" s="49"/>
      <c r="B2" s="53" t="s">
        <v>20</v>
      </c>
      <c r="C2" s="53" t="s">
        <v>21</v>
      </c>
      <c r="D2" s="24" t="s">
        <v>22</v>
      </c>
      <c r="E2" s="25" t="s">
        <v>11</v>
      </c>
      <c r="F2" s="49"/>
    </row>
    <row r="3" spans="1:6" x14ac:dyDescent="0.2">
      <c r="A3" s="49"/>
      <c r="B3" s="54"/>
      <c r="C3" s="54"/>
      <c r="D3" s="26">
        <v>0.3</v>
      </c>
      <c r="E3" s="26">
        <v>0</v>
      </c>
      <c r="F3" s="49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5" t="s">
        <v>60</v>
      </c>
      <c r="B1" s="4" t="s">
        <v>12</v>
      </c>
      <c r="C1" s="5"/>
      <c r="D1" s="5"/>
      <c r="E1" s="6"/>
    </row>
    <row r="2" spans="1:5" ht="49" thickBot="1" x14ac:dyDescent="0.25">
      <c r="A2" s="56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Sandra Olea Jara</cp:lastModifiedBy>
  <cp:revision/>
  <dcterms:created xsi:type="dcterms:W3CDTF">2023-08-07T04:08:01Z</dcterms:created>
  <dcterms:modified xsi:type="dcterms:W3CDTF">2025-12-09T16:09:14Z</dcterms:modified>
  <cp:category/>
  <cp:contentStatus/>
</cp:coreProperties>
</file>